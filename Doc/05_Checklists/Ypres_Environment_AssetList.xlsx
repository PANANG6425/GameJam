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 Assets" sheetId="1" state="visible" r:id="rId3"/>
    <sheet name="Summary" sheetId="2" state="visible" r:id="rId4"/>
  </sheets>
  <definedNames>
    <definedName function="false" hidden="true" localSheetId="0" name="_xlnm._FilterDatabase" vbProcedure="false">'Environment Assets'!$A$1:$I$60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<sst xmlns="http://schemas.openxmlformats.org/spreadsheetml/2006/main" count="529" uniqueCount="264">
  <si>
    <t xml:space="preserve">ID</t>
  </si>
  <si>
    <t xml:space="preserve">Asset (ไทย)</t>
  </si>
  <si>
    <t xml:space="preserve">Asset (EN)</t>
  </si>
  <si>
    <t xml:space="preserve">Type</t>
  </si>
  <si>
    <t xml:space="preserve">Zone</t>
  </si>
  <si>
    <t xml:space="preserve">Theme</t>
  </si>
  <si>
    <t xml:space="preserve">Priority</t>
  </si>
  <si>
    <t xml:space="preserve">Status</t>
  </si>
  <si>
    <t xml:space="preserve">Notes</t>
  </si>
  <si>
    <t xml:space="preserve">ENV-01</t>
  </si>
  <si>
    <t xml:space="preserve">ผนังสนามเพลาะ (ไม้/กระสอบทราย/เหล็กลูกฟูก)</t>
  </si>
  <si>
    <t xml:space="preserve">Trench wall tileset</t>
  </si>
  <si>
    <t xml:space="preserve">Tile</t>
  </si>
  <si>
    <t xml:space="preserve">Z1 / All</t>
  </si>
  <si>
    <t xml:space="preserve">WW1</t>
  </si>
  <si>
    <t xml:space="preserve">P0</t>
  </si>
  <si>
    <t xml:space="preserve">To do</t>
  </si>
  <si>
    <t xml:space="preserve">ชุดหลัก ต้องมีมุม/ขอบครบ</t>
  </si>
  <si>
    <t xml:space="preserve">ENV-02</t>
  </si>
  <si>
    <t xml:space="preserve">พื้น duckboard (ไม้เปียก)</t>
  </si>
  <si>
    <t xml:space="preserve">Duckboard floor tiles</t>
  </si>
  <si>
    <t xml:space="preserve">พื้นเดินหลัก</t>
  </si>
  <si>
    <t xml:space="preserve">ENV-03</t>
  </si>
  <si>
    <t xml:space="preserve">พื้นโคลน/ดิน</t>
  </si>
  <si>
    <t xml:space="preserve">Mud &amp; dirt ground tiles</t>
  </si>
  <si>
    <t xml:space="preserve">All</t>
  </si>
  <si>
    <t xml:space="preserve">มีหล่มเดินช้า variant</t>
  </si>
  <si>
    <t xml:space="preserve">ENV-04</t>
  </si>
  <si>
    <t xml:space="preserve">เศษซาก/โครงพัง</t>
  </si>
  <si>
    <t xml:space="preserve">Rubble &amp; debris tiles</t>
  </si>
  <si>
    <t xml:space="preserve">P1</t>
  </si>
  <si>
    <t xml:space="preserve">ENV-05</t>
  </si>
  <si>
    <t xml:space="preserve">บันไดสนามเพลาะ</t>
  </si>
  <si>
    <t xml:space="preserve">Trench ladder tiles</t>
  </si>
  <si>
    <t xml:space="preserve">Tile / Interactive</t>
  </si>
  <si>
    <t xml:space="preserve">Z1</t>
  </si>
  <si>
    <t xml:space="preserve">ใช้ปีน + return hatch</t>
  </si>
  <si>
    <t xml:space="preserve">ENV-06</t>
  </si>
  <si>
    <t xml:space="preserve">คานค้ำไม้ (pit props)</t>
  </si>
  <si>
    <t xml:space="preserve">Wooden support beams</t>
  </si>
  <si>
    <t xml:space="preserve">Z1 / Z3</t>
  </si>
  <si>
    <t xml:space="preserve">ENV-07</t>
  </si>
  <si>
    <t xml:space="preserve">พื้นหลังดิน (parallax)</t>
  </si>
  <si>
    <t xml:space="preserve">Background earth layers</t>
  </si>
  <si>
    <t xml:space="preserve">Background</t>
  </si>
  <si>
    <t xml:space="preserve">2-3 ชั้น parallax</t>
  </si>
  <si>
    <t xml:space="preserve">ENV-08</t>
  </si>
  <si>
    <t xml:space="preserve">ท่อโลหะ/ตัวเรือ U-boat</t>
  </si>
  <si>
    <t xml:space="preserve">Metal pipe &amp; hull tiles</t>
  </si>
  <si>
    <t xml:space="preserve">Z2</t>
  </si>
  <si>
    <t xml:space="preserve">ENV-09</t>
  </si>
  <si>
    <t xml:space="preserve">น้ำตื้น/น้ำลึก/น้ำขุ่น</t>
  </si>
  <si>
    <t xml:space="preserve">Water tiles (shallow/deep/murky)</t>
  </si>
  <si>
    <t xml:space="preserve">Z2 / Z3</t>
  </si>
  <si>
    <t xml:space="preserve">WW1+LC</t>
  </si>
  <si>
    <t xml:space="preserve">มี animated variant</t>
  </si>
  <si>
    <t xml:space="preserve">ENV-10</t>
  </si>
  <si>
    <t xml:space="preserve">อิฐ/หินมหาวิหารจม</t>
  </si>
  <si>
    <t xml:space="preserve">Sunken cathedral stone</t>
  </si>
  <si>
    <t xml:space="preserve">Z3</t>
  </si>
  <si>
    <t xml:space="preserve">ENV-11</t>
  </si>
  <si>
    <t xml:space="preserve">tile เนื้อ eldritch (overlay corruption)</t>
  </si>
  <si>
    <t xml:space="preserve">Flesh-growth overlay tiles</t>
  </si>
  <si>
    <t xml:space="preserve">All (corruption)</t>
  </si>
  <si>
    <t xml:space="preserve">LC</t>
  </si>
  <si>
    <t xml:space="preserve">P2</t>
  </si>
  <si>
    <t xml:space="preserve">ใช้ทับ tile เดิมตาม Madness</t>
  </si>
  <si>
    <t xml:space="preserve">ENV-12</t>
  </si>
  <si>
    <t xml:space="preserve">tile กระดูก/ซี่โครงโครงสร้าง</t>
  </si>
  <si>
    <t xml:space="preserve">Bone/ribcage structural tiles</t>
  </si>
  <si>
    <t xml:space="preserve">Z3 / Gate</t>
  </si>
  <si>
    <t xml:space="preserve">ENV-13</t>
  </si>
  <si>
    <t xml:space="preserve">tile เรขาคณิตนอกยูคลิด</t>
  </si>
  <si>
    <t xml:space="preserve">Non-euclidean geometry tiles</t>
  </si>
  <si>
    <t xml:space="preserve">Gate (endgame)</t>
  </si>
  <si>
    <t xml:space="preserve">ปลายเกม</t>
  </si>
  <si>
    <t xml:space="preserve">ENV-14</t>
  </si>
  <si>
    <t xml:space="preserve">กระสอบทรายกอง</t>
  </si>
  <si>
    <t xml:space="preserve">Sandbag stacks</t>
  </si>
  <si>
    <t xml:space="preserve">Prop</t>
  </si>
  <si>
    <t xml:space="preserve">ENV-15</t>
  </si>
  <si>
    <t xml:space="preserve">ลังกระสุน/ลังไม้</t>
  </si>
  <si>
    <t xml:space="preserve">Ammo &amp; wooden crates</t>
  </si>
  <si>
    <t xml:space="preserve">ทำลายได้ variant</t>
  </si>
  <si>
    <t xml:space="preserve">ENV-16</t>
  </si>
  <si>
    <t xml:space="preserve">ถังน้ำมัน/ถังน้ำ</t>
  </si>
  <si>
    <t xml:space="preserve">Barrels (oil/water)</t>
  </si>
  <si>
    <t xml:space="preserve">ENV-17</t>
  </si>
  <si>
    <t xml:space="preserve">ตะเกียง/โคมไฟ</t>
  </si>
  <si>
    <t xml:space="preserve">Oil lamp / lantern</t>
  </si>
  <si>
    <t xml:space="preserve">Prop / FX</t>
  </si>
  <si>
    <t xml:space="preserve">แหล่งแสง + flicker</t>
  </si>
  <si>
    <t xml:space="preserve">ENV-18</t>
  </si>
  <si>
    <t xml:space="preserve">เตียงสองชั้น/เปลนอน</t>
  </si>
  <si>
    <t xml:space="preserve">Bunk beds / cot</t>
  </si>
  <si>
    <t xml:space="preserve">Z1 Barracks</t>
  </si>
  <si>
    <t xml:space="preserve">ENV-19</t>
  </si>
  <si>
    <t xml:space="preserve">โต๊ะแผนที่นายทหาร</t>
  </si>
  <si>
    <t xml:space="preserve">Officer's map table</t>
  </si>
  <si>
    <t xml:space="preserve">Z1 mess</t>
  </si>
  <si>
    <t xml:space="preserve">จุด lore</t>
  </si>
  <si>
    <t xml:space="preserve">ENV-20</t>
  </si>
  <si>
    <t xml:space="preserve">โทรศัพท์สนาม</t>
  </si>
  <si>
    <t xml:space="preserve">Field telephone</t>
  </si>
  <si>
    <t xml:space="preserve">ENV-21</t>
  </si>
  <si>
    <t xml:space="preserve">ที่แขวนปืนไรเฟิล</t>
  </si>
  <si>
    <t xml:space="preserve">Rifle rack</t>
  </si>
  <si>
    <t xml:space="preserve">ENV-22</t>
  </si>
  <si>
    <t xml:space="preserve">เปลหาม</t>
  </si>
  <si>
    <t xml:space="preserve">Stretcher</t>
  </si>
  <si>
    <t xml:space="preserve">ENV-23</t>
  </si>
  <si>
    <t xml:space="preserve">ลวดหนาม (คอยล์/ราว)</t>
  </si>
  <si>
    <t xml:space="preserve">Barbed wire coils</t>
  </si>
  <si>
    <t xml:space="preserve">fore/background</t>
  </si>
  <si>
    <t xml:space="preserve">ENV-24</t>
  </si>
  <si>
    <t xml:space="preserve">หมวกเหล็ก/ของทิ้งกอง</t>
  </si>
  <si>
    <t xml:space="preserve">Helmet pile / discarded gear</t>
  </si>
  <si>
    <t xml:space="preserve">ENV-25</t>
  </si>
  <si>
    <t xml:space="preserve">ปลอกกระสุน/ปลอกปืนใหญ่</t>
  </si>
  <si>
    <t xml:space="preserve">Spent shells &amp; casings</t>
  </si>
  <si>
    <t xml:space="preserve">set-dressing</t>
  </si>
  <si>
    <t xml:space="preserve">ENV-26</t>
  </si>
  <si>
    <t xml:space="preserve">ระเบิดด้าน/ลูกปืนใหญ่</t>
  </si>
  <si>
    <t xml:space="preserve">Unexploded shell</t>
  </si>
  <si>
    <t xml:space="preserve">ENV-27</t>
  </si>
  <si>
    <t xml:space="preserve">ถังแก๊ส/canister</t>
  </si>
  <si>
    <t xml:space="preserve">Gas cylinders</t>
  </si>
  <si>
    <t xml:space="preserve">Z1 / Z2</t>
  </si>
  <si>
    <t xml:space="preserve">โยงโซนแก๊ส</t>
  </si>
  <si>
    <t xml:space="preserve">ENV-28</t>
  </si>
  <si>
    <t xml:space="preserve">ป้ายชื่อสนามเพลาะ</t>
  </si>
  <si>
    <t xml:space="preserve">Trench signpost</t>
  </si>
  <si>
    <t xml:space="preserve">ENV-29</t>
  </si>
  <si>
    <t xml:space="preserve">กล้อง periscope</t>
  </si>
  <si>
    <t xml:space="preserve">Trench periscope</t>
  </si>
  <si>
    <t xml:space="preserve">ENV-30</t>
  </si>
  <si>
    <t xml:space="preserve">กรามโฟน/แผ่นเสียง</t>
  </si>
  <si>
    <t xml:space="preserve">Gramophone (lore)</t>
  </si>
  <si>
    <t xml:space="preserve">เสียงเสื่อมตาม Madness</t>
  </si>
  <si>
    <t xml:space="preserve">ENV-31</t>
  </si>
  <si>
    <t xml:space="preserve">จดหมาย/กระดาษปักผนัง</t>
  </si>
  <si>
    <t xml:space="preserve">Pinned letters &amp; papers</t>
  </si>
  <si>
    <t xml:space="preserve">lore + motif บ้านเกิด</t>
  </si>
  <si>
    <t xml:space="preserve">ENV-32</t>
  </si>
  <si>
    <t xml:space="preserve">กราฟฟิตี้ผนัง</t>
  </si>
  <si>
    <t xml:space="preserve">Wall graffiti decals</t>
  </si>
  <si>
    <t xml:space="preserve">Decal</t>
  </si>
  <si>
    <t xml:space="preserve">ENV-33</t>
  </si>
  <si>
    <t xml:space="preserve">ธง/ผ้าขาด</t>
  </si>
  <si>
    <t xml:space="preserve">Torn flags &amp; cloth</t>
  </si>
  <si>
    <t xml:space="preserve">ENV-34</t>
  </si>
  <si>
    <t xml:space="preserve">เนื้องอกผนัง (หายใจ)</t>
  </si>
  <si>
    <t xml:space="preserve">Fleshy wall growth (breathing)</t>
  </si>
  <si>
    <t xml:space="preserve">Prop / Decal</t>
  </si>
  <si>
    <t xml:space="preserve">Z3 / corruption</t>
  </si>
  <si>
    <t xml:space="preserve">animated</t>
  </si>
  <si>
    <t xml:space="preserve">ENV-35</t>
  </si>
  <si>
    <t xml:space="preserve">เส้นเลือดเรืองแสง/เห็ดเรือง</t>
  </si>
  <si>
    <t xml:space="preserve">Glowing veins / fungus</t>
  </si>
  <si>
    <t xml:space="preserve">แหล่งแสงเรือง</t>
  </si>
  <si>
    <t xml:space="preserve">ENV-36</t>
  </si>
  <si>
    <t xml:space="preserve">ประตูเรขาคณิต (The Gate)</t>
  </si>
  <si>
    <t xml:space="preserve">Eldritch gate doorway</t>
  </si>
  <si>
    <t xml:space="preserve">ENV-37</t>
  </si>
  <si>
    <t xml:space="preserve">ผนังครรภ์มหาวิหาร</t>
  </si>
  <si>
    <t xml:space="preserve">Cathedral-womb flesh wall</t>
  </si>
  <si>
    <t xml:space="preserve">Tile / Prop</t>
  </si>
  <si>
    <t xml:space="preserve">ENV-38</t>
  </si>
  <si>
    <t xml:space="preserve">ตาในผนัง</t>
  </si>
  <si>
    <t xml:space="preserve">Eyes-in-wall decal</t>
  </si>
  <si>
    <t xml:space="preserve">corruption</t>
  </si>
  <si>
    <t xml:space="preserve">ENV-39</t>
  </si>
  <si>
    <t xml:space="preserve">อักขระเรืองแสงนอกโลก</t>
  </si>
  <si>
    <t xml:space="preserve">Glowing alien script</t>
  </si>
  <si>
    <t xml:space="preserve">deep / all</t>
  </si>
  <si>
    <t xml:space="preserve">ENV-40</t>
  </si>
  <si>
    <t xml:space="preserve">เสาเนื้อ-เครื่องจักร</t>
  </si>
  <si>
    <t xml:space="preserve">Machine-flesh pillar/debris</t>
  </si>
  <si>
    <t xml:space="preserve">ENV-41</t>
  </si>
  <si>
    <t xml:space="preserve">น้ำ corrupted เรืองแสง</t>
  </si>
  <si>
    <t xml:space="preserve">Bioluminescent corrupted water</t>
  </si>
  <si>
    <t xml:space="preserve">Tile / FX</t>
  </si>
  <si>
    <t xml:space="preserve">ENV-42</t>
  </si>
  <si>
    <t xml:space="preserve">ศาลเซฟ (แท่น+เทียน+สัญลักษณ์)</t>
  </si>
  <si>
    <t xml:space="preserve">Save shrine altar</t>
  </si>
  <si>
    <t xml:space="preserve">Interactive</t>
  </si>
  <si>
    <t xml:space="preserve">เซฟ+Ritual</t>
  </si>
  <si>
    <t xml:space="preserve">ENV-43</t>
  </si>
  <si>
    <t xml:space="preserve">วง Ritual</t>
  </si>
  <si>
    <t xml:space="preserve">Ritual circle</t>
  </si>
  <si>
    <t xml:space="preserve">ENV-44</t>
  </si>
  <si>
    <t xml:space="preserve">ประตู gate ล็อก (GAS/DIVE)</t>
  </si>
  <si>
    <t xml:space="preserve">Locked gate door</t>
  </si>
  <si>
    <t xml:space="preserve">Z1→Z2→Z3</t>
  </si>
  <si>
    <t xml:space="preserve">2 variant ตามไอเทม</t>
  </si>
  <si>
    <t xml:space="preserve">ENV-45</t>
  </si>
  <si>
    <t xml:space="preserve">Return Hatch / บันไดลัด</t>
  </si>
  <si>
    <t xml:space="preserve">Return hatch shortcut</t>
  </si>
  <si>
    <t xml:space="preserve">2 สถานะ ปิด/เปิด</t>
  </si>
  <si>
    <t xml:space="preserve">ENV-46</t>
  </si>
  <si>
    <t xml:space="preserve">กำแพงทำลายได้</t>
  </si>
  <si>
    <t xml:space="preserve">Breakable wall</t>
  </si>
  <si>
    <t xml:space="preserve">ENV-47</t>
  </si>
  <si>
    <t xml:space="preserve">แท่นวางไอเทม/pickup</t>
  </si>
  <si>
    <t xml:space="preserve">Item pedestal</t>
  </si>
  <si>
    <t xml:space="preserve">ENV-48</t>
  </si>
  <si>
    <t xml:space="preserve">ประตูภูมิภาค (Remembered)</t>
  </si>
  <si>
    <t xml:space="preserve">Region door</t>
  </si>
  <si>
    <t xml:space="preserve">ไม่สุ่ม</t>
  </si>
  <si>
    <t xml:space="preserve">ENV-49</t>
  </si>
  <si>
    <t xml:space="preserve">tile ถล่ม (forced ascent)</t>
  </si>
  <si>
    <t xml:space="preserve">Collapse tiles (one-way)</t>
  </si>
  <si>
    <t xml:space="preserve">ENV-50</t>
  </si>
  <si>
    <t xml:space="preserve">โซนแก๊ส (หมอกพิษ)</t>
  </si>
  <si>
    <t xml:space="preserve">Gas hazard zone</t>
  </si>
  <si>
    <t xml:space="preserve">Interactive / FX</t>
  </si>
  <si>
    <t xml:space="preserve">trigger เสีย HP</t>
  </si>
  <si>
    <t xml:space="preserve">ENV-51</t>
  </si>
  <si>
    <t xml:space="preserve">โซนน้ำอันตราย/จมน้ำ</t>
  </si>
  <si>
    <t xml:space="preserve">Water hazard</t>
  </si>
  <si>
    <t xml:space="preserve">ENV-52</t>
  </si>
  <si>
    <t xml:space="preserve">หมอก/ควันชั้น</t>
  </si>
  <si>
    <t xml:space="preserve">Fog &amp; smoke layer</t>
  </si>
  <si>
    <t xml:space="preserve">FX</t>
  </si>
  <si>
    <t xml:space="preserve">ENV-53</t>
  </si>
  <si>
    <t xml:space="preserve">ฝนตก overlay</t>
  </si>
  <si>
    <t xml:space="preserve">Rain overlay</t>
  </si>
  <si>
    <t xml:space="preserve">ENV-54</t>
  </si>
  <si>
    <t xml:space="preserve">ฝุ่นละออง/particles</t>
  </si>
  <si>
    <t xml:space="preserve">Dust motes</t>
  </si>
  <si>
    <t xml:space="preserve">ENV-55</t>
  </si>
  <si>
    <t xml:space="preserve">ฉากหลัง parallax (ท้องฟ้าหม่น/สนามเพลาะไกล)</t>
  </si>
  <si>
    <t xml:space="preserve">Parallax bg (grey sky/far trenches)</t>
  </si>
  <si>
    <t xml:space="preserve">ENV-56</t>
  </si>
  <si>
    <t xml:space="preserve">แสงสะท้อนน้ำ/caustics</t>
  </si>
  <si>
    <t xml:space="preserve">Water caustics</t>
  </si>
  <si>
    <t xml:space="preserve">ENV-57</t>
  </si>
  <si>
    <t xml:space="preserve">แสงเรืองจักรวาล (ม่วง/particles)</t>
  </si>
  <si>
    <t xml:space="preserve">Cosmic glow lights</t>
  </si>
  <si>
    <t xml:space="preserve">deep / corruption</t>
  </si>
  <si>
    <t xml:space="preserve">ENV-58</t>
  </si>
  <si>
    <t xml:space="preserve">overlay corruption หน้าจอ (UI degradation)</t>
  </si>
  <si>
    <t xml:space="preserve">Corruption screen overlay</t>
  </si>
  <si>
    <t xml:space="preserve">ตาม Madness</t>
  </si>
  <si>
    <t xml:space="preserve">ENV-59</t>
  </si>
  <si>
    <t xml:space="preserve">ประกายไฟ/เปลวตะเกียง</t>
  </si>
  <si>
    <t xml:space="preserve">Fire / lamp flicker</t>
  </si>
  <si>
    <t xml:space="preserve">สรุป Asset Checklist</t>
  </si>
  <si>
    <t xml:space="preserve">ตาม Priority</t>
  </si>
  <si>
    <t xml:space="preserve">P0 — ต้องมีสำหรับ prototype</t>
  </si>
  <si>
    <t xml:space="preserve">P1 — เกมเต็ม</t>
  </si>
  <si>
    <t xml:space="preserve">P2 — polish/eldritch</t>
  </si>
  <si>
    <t xml:space="preserve">รวมทั้งหมด</t>
  </si>
  <si>
    <t xml:space="preserve">ตาม Type</t>
  </si>
  <si>
    <t xml:space="preserve">ตาม Status</t>
  </si>
  <si>
    <t xml:space="preserve">WIP</t>
  </si>
  <si>
    <t xml:space="preserve">Review</t>
  </si>
  <si>
    <t xml:space="preserve">Done</t>
  </si>
  <si>
    <t xml:space="preserve">Legend / วิธีใช้</t>
  </si>
  <si>
    <t xml:space="preserve">• กรอกคอลัมน์ Status (dropdown): To do / WIP / Review / Done</t>
  </si>
  <si>
    <t xml:space="preserve">• Priority: P0=ทำก่อน (prototype Zone1), P1=เกมเต็ม, P2=ขัดเงา/eldritch</t>
  </si>
  <si>
    <t xml:space="preserve">• Theme: WW1 = สนามเพลาะจริง, LC = Lovecraft/cosmic horror</t>
  </si>
  <si>
    <t xml:space="preserve">• Zone: Z1 Dugout/Trench · Z2 Gas/Deep · Z3 Excavation · Gate=ปลายเกม</t>
  </si>
  <si>
    <t xml:space="preserve">• แบ่งงานได้โดยเพิ่มคอลัมน์ 'ผู้รับผิดชอบ' เองในชีต Environment Assets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</si>
</sst>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9A6A1A"/>
      <name val="Arial"/>
      <family val="0"/>
      <charset val="1"/>
    </font>
    <font>
      <b val="true"/>
      <sz val="10"/>
      <color rgb="FF2E6B4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9A6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7D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7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6B4F"/>
          <bgColor rgb="FF000000"/>
        </patternFill>
      </fill>
    </dxf>
    <dxf>
      <fill>
        <patternFill patternType="solid">
          <fgColor rgb="FF9A6A1A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A"/>
      <rgbColor rgb="FF800080"/>
      <rgbColor rgb="FF2E6B4F"/>
      <rgbColor rgb="FFCCCCCC"/>
      <rgbColor rgb="FF808080"/>
      <rgbColor rgb="FF9999FF"/>
      <rgbColor rgb="FF993366"/>
      <rgbColor rgb="FFEDE7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4" t="s">
        <v>15</v>
      </c>
      <c r="H2" s="2" t="s">
        <v>16</v>
      </c>
      <c r="I2" s="3" t="s">
        <v>17</v>
      </c>
    </row>
    <row r="3" customFormat="false" ht="15" hidden="false" customHeight="false" outlineLevel="0" collapsed="false">
      <c r="A3" s="5" t="s">
        <v>18</v>
      </c>
      <c r="B3" s="6" t="s">
        <v>19</v>
      </c>
      <c r="C3" s="6" t="s">
        <v>20</v>
      </c>
      <c r="D3" s="5" t="s">
        <v>12</v>
      </c>
      <c r="E3" s="5" t="s">
        <v>13</v>
      </c>
      <c r="F3" s="5" t="s">
        <v>14</v>
      </c>
      <c r="G3" s="7" t="s">
        <v>15</v>
      </c>
      <c r="H3" s="5" t="s">
        <v>16</v>
      </c>
      <c r="I3" s="6" t="s">
        <v>21</v>
      </c>
    </row>
    <row r="4" customFormat="false" ht="15" hidden="false" customHeight="false" outlineLevel="0" collapsed="false">
      <c r="A4" s="2" t="s">
        <v>22</v>
      </c>
      <c r="B4" s="3" t="s">
        <v>23</v>
      </c>
      <c r="C4" s="3" t="s">
        <v>24</v>
      </c>
      <c r="D4" s="2" t="s">
        <v>12</v>
      </c>
      <c r="E4" s="2" t="s">
        <v>25</v>
      </c>
      <c r="F4" s="2" t="s">
        <v>14</v>
      </c>
      <c r="G4" s="4" t="s">
        <v>15</v>
      </c>
      <c r="H4" s="2" t="s">
        <v>16</v>
      </c>
      <c r="I4" s="3" t="s">
        <v>26</v>
      </c>
    </row>
    <row r="5" customFormat="false" ht="15" hidden="false" customHeight="false" outlineLevel="0" collapsed="false">
      <c r="A5" s="5" t="s">
        <v>27</v>
      </c>
      <c r="B5" s="6" t="s">
        <v>28</v>
      </c>
      <c r="C5" s="6" t="s">
        <v>29</v>
      </c>
      <c r="D5" s="5" t="s">
        <v>12</v>
      </c>
      <c r="E5" s="5" t="s">
        <v>25</v>
      </c>
      <c r="F5" s="5" t="s">
        <v>14</v>
      </c>
      <c r="G5" s="8" t="s">
        <v>30</v>
      </c>
      <c r="H5" s="5" t="s">
        <v>16</v>
      </c>
      <c r="I5" s="6"/>
    </row>
    <row r="6" customFormat="false" ht="15" hidden="false" customHeight="false" outlineLevel="0" collapsed="false">
      <c r="A6" s="2" t="s">
        <v>31</v>
      </c>
      <c r="B6" s="3" t="s">
        <v>32</v>
      </c>
      <c r="C6" s="3" t="s">
        <v>33</v>
      </c>
      <c r="D6" s="2" t="s">
        <v>34</v>
      </c>
      <c r="E6" s="2" t="s">
        <v>35</v>
      </c>
      <c r="F6" s="2" t="s">
        <v>14</v>
      </c>
      <c r="G6" s="4" t="s">
        <v>15</v>
      </c>
      <c r="H6" s="2" t="s">
        <v>16</v>
      </c>
      <c r="I6" s="3" t="s">
        <v>36</v>
      </c>
    </row>
    <row r="7" customFormat="false" ht="15" hidden="false" customHeight="false" outlineLevel="0" collapsed="false">
      <c r="A7" s="5" t="s">
        <v>37</v>
      </c>
      <c r="B7" s="6" t="s">
        <v>38</v>
      </c>
      <c r="C7" s="6" t="s">
        <v>39</v>
      </c>
      <c r="D7" s="5" t="s">
        <v>12</v>
      </c>
      <c r="E7" s="5" t="s">
        <v>40</v>
      </c>
      <c r="F7" s="5" t="s">
        <v>14</v>
      </c>
      <c r="G7" s="8" t="s">
        <v>30</v>
      </c>
      <c r="H7" s="5" t="s">
        <v>16</v>
      </c>
      <c r="I7" s="6"/>
    </row>
    <row r="8" customFormat="false" ht="15" hidden="false" customHeight="false" outlineLevel="0" collapsed="false">
      <c r="A8" s="2" t="s">
        <v>41</v>
      </c>
      <c r="B8" s="3" t="s">
        <v>42</v>
      </c>
      <c r="C8" s="3" t="s">
        <v>43</v>
      </c>
      <c r="D8" s="2" t="s">
        <v>44</v>
      </c>
      <c r="E8" s="2" t="s">
        <v>25</v>
      </c>
      <c r="F8" s="2" t="s">
        <v>14</v>
      </c>
      <c r="G8" s="9" t="s">
        <v>30</v>
      </c>
      <c r="H8" s="2" t="s">
        <v>16</v>
      </c>
      <c r="I8" s="3" t="s">
        <v>45</v>
      </c>
    </row>
    <row r="9" customFormat="false" ht="15" hidden="false" customHeight="false" outlineLevel="0" collapsed="false">
      <c r="A9" s="5" t="s">
        <v>46</v>
      </c>
      <c r="B9" s="6" t="s">
        <v>47</v>
      </c>
      <c r="C9" s="6" t="s">
        <v>48</v>
      </c>
      <c r="D9" s="5" t="s">
        <v>12</v>
      </c>
      <c r="E9" s="5" t="s">
        <v>49</v>
      </c>
      <c r="F9" s="5" t="s">
        <v>14</v>
      </c>
      <c r="G9" s="8" t="s">
        <v>30</v>
      </c>
      <c r="H9" s="5" t="s">
        <v>16</v>
      </c>
      <c r="I9" s="6"/>
    </row>
    <row r="10" customFormat="false" ht="15" hidden="false" customHeight="false" outlineLevel="0" collapsed="false">
      <c r="A10" s="2" t="s">
        <v>50</v>
      </c>
      <c r="B10" s="3" t="s">
        <v>51</v>
      </c>
      <c r="C10" s="3" t="s">
        <v>52</v>
      </c>
      <c r="D10" s="2" t="s">
        <v>12</v>
      </c>
      <c r="E10" s="2" t="s">
        <v>53</v>
      </c>
      <c r="F10" s="2" t="s">
        <v>54</v>
      </c>
      <c r="G10" s="9" t="s">
        <v>30</v>
      </c>
      <c r="H10" s="2" t="s">
        <v>16</v>
      </c>
      <c r="I10" s="3" t="s">
        <v>55</v>
      </c>
    </row>
    <row r="11" customFormat="false" ht="15" hidden="false" customHeight="false" outlineLevel="0" collapsed="false">
      <c r="A11" s="5" t="s">
        <v>56</v>
      </c>
      <c r="B11" s="6" t="s">
        <v>57</v>
      </c>
      <c r="C11" s="6" t="s">
        <v>58</v>
      </c>
      <c r="D11" s="5" t="s">
        <v>12</v>
      </c>
      <c r="E11" s="5" t="s">
        <v>59</v>
      </c>
      <c r="F11" s="5" t="s">
        <v>54</v>
      </c>
      <c r="G11" s="8" t="s">
        <v>30</v>
      </c>
      <c r="H11" s="5" t="s">
        <v>16</v>
      </c>
      <c r="I11" s="6"/>
    </row>
    <row r="12" customFormat="false" ht="15" hidden="false" customHeight="false" outlineLevel="0" collapsed="false">
      <c r="A12" s="2" t="s">
        <v>60</v>
      </c>
      <c r="B12" s="3" t="s">
        <v>61</v>
      </c>
      <c r="C12" s="3" t="s">
        <v>62</v>
      </c>
      <c r="D12" s="2" t="s">
        <v>12</v>
      </c>
      <c r="E12" s="2" t="s">
        <v>63</v>
      </c>
      <c r="F12" s="2" t="s">
        <v>64</v>
      </c>
      <c r="G12" s="10" t="s">
        <v>65</v>
      </c>
      <c r="H12" s="2" t="s">
        <v>16</v>
      </c>
      <c r="I12" s="3" t="s">
        <v>66</v>
      </c>
    </row>
    <row r="13" customFormat="false" ht="15" hidden="false" customHeight="false" outlineLevel="0" collapsed="false">
      <c r="A13" s="5" t="s">
        <v>67</v>
      </c>
      <c r="B13" s="6" t="s">
        <v>68</v>
      </c>
      <c r="C13" s="6" t="s">
        <v>69</v>
      </c>
      <c r="D13" s="5" t="s">
        <v>12</v>
      </c>
      <c r="E13" s="5" t="s">
        <v>70</v>
      </c>
      <c r="F13" s="5" t="s">
        <v>64</v>
      </c>
      <c r="G13" s="11" t="s">
        <v>65</v>
      </c>
      <c r="H13" s="5" t="s">
        <v>16</v>
      </c>
      <c r="I13" s="6"/>
    </row>
    <row r="14" customFormat="false" ht="15" hidden="false" customHeight="false" outlineLevel="0" collapsed="false">
      <c r="A14" s="2" t="s">
        <v>71</v>
      </c>
      <c r="B14" s="3" t="s">
        <v>72</v>
      </c>
      <c r="C14" s="3" t="s">
        <v>73</v>
      </c>
      <c r="D14" s="2" t="s">
        <v>12</v>
      </c>
      <c r="E14" s="2" t="s">
        <v>74</v>
      </c>
      <c r="F14" s="2" t="s">
        <v>64</v>
      </c>
      <c r="G14" s="10" t="s">
        <v>65</v>
      </c>
      <c r="H14" s="2" t="s">
        <v>16</v>
      </c>
      <c r="I14" s="3" t="s">
        <v>75</v>
      </c>
    </row>
    <row r="15" customFormat="false" ht="15" hidden="false" customHeight="false" outlineLevel="0" collapsed="false">
      <c r="A15" s="5" t="s">
        <v>76</v>
      </c>
      <c r="B15" s="6" t="s">
        <v>77</v>
      </c>
      <c r="C15" s="6" t="s">
        <v>78</v>
      </c>
      <c r="D15" s="5" t="s">
        <v>79</v>
      </c>
      <c r="E15" s="5" t="s">
        <v>35</v>
      </c>
      <c r="F15" s="5" t="s">
        <v>14</v>
      </c>
      <c r="G15" s="7" t="s">
        <v>15</v>
      </c>
      <c r="H15" s="5" t="s">
        <v>16</v>
      </c>
      <c r="I15" s="6"/>
    </row>
    <row r="16" customFormat="false" ht="15" hidden="false" customHeight="false" outlineLevel="0" collapsed="false">
      <c r="A16" s="2" t="s">
        <v>80</v>
      </c>
      <c r="B16" s="3" t="s">
        <v>81</v>
      </c>
      <c r="C16" s="3" t="s">
        <v>82</v>
      </c>
      <c r="D16" s="2" t="s">
        <v>79</v>
      </c>
      <c r="E16" s="2" t="s">
        <v>25</v>
      </c>
      <c r="F16" s="2" t="s">
        <v>14</v>
      </c>
      <c r="G16" s="4" t="s">
        <v>15</v>
      </c>
      <c r="H16" s="2" t="s">
        <v>16</v>
      </c>
      <c r="I16" s="3" t="s">
        <v>83</v>
      </c>
    </row>
    <row r="17" customFormat="false" ht="15" hidden="false" customHeight="false" outlineLevel="0" collapsed="false">
      <c r="A17" s="5" t="s">
        <v>84</v>
      </c>
      <c r="B17" s="6" t="s">
        <v>85</v>
      </c>
      <c r="C17" s="6" t="s">
        <v>86</v>
      </c>
      <c r="D17" s="5" t="s">
        <v>79</v>
      </c>
      <c r="E17" s="5" t="s">
        <v>25</v>
      </c>
      <c r="F17" s="5" t="s">
        <v>14</v>
      </c>
      <c r="G17" s="8" t="s">
        <v>30</v>
      </c>
      <c r="H17" s="5" t="s">
        <v>16</v>
      </c>
      <c r="I17" s="6"/>
    </row>
    <row r="18" customFormat="false" ht="15" hidden="false" customHeight="false" outlineLevel="0" collapsed="false">
      <c r="A18" s="2" t="s">
        <v>87</v>
      </c>
      <c r="B18" s="3" t="s">
        <v>88</v>
      </c>
      <c r="C18" s="3" t="s">
        <v>89</v>
      </c>
      <c r="D18" s="2" t="s">
        <v>90</v>
      </c>
      <c r="E18" s="2" t="s">
        <v>25</v>
      </c>
      <c r="F18" s="2" t="s">
        <v>14</v>
      </c>
      <c r="G18" s="4" t="s">
        <v>15</v>
      </c>
      <c r="H18" s="2" t="s">
        <v>16</v>
      </c>
      <c r="I18" s="3" t="s">
        <v>91</v>
      </c>
    </row>
    <row r="19" customFormat="false" ht="15" hidden="false" customHeight="false" outlineLevel="0" collapsed="false">
      <c r="A19" s="5" t="s">
        <v>92</v>
      </c>
      <c r="B19" s="6" t="s">
        <v>93</v>
      </c>
      <c r="C19" s="6" t="s">
        <v>94</v>
      </c>
      <c r="D19" s="5" t="s">
        <v>79</v>
      </c>
      <c r="E19" s="5" t="s">
        <v>95</v>
      </c>
      <c r="F19" s="5" t="s">
        <v>14</v>
      </c>
      <c r="G19" s="8" t="s">
        <v>30</v>
      </c>
      <c r="H19" s="5" t="s">
        <v>16</v>
      </c>
      <c r="I19" s="6"/>
    </row>
    <row r="20" customFormat="false" ht="15" hidden="false" customHeight="false" outlineLevel="0" collapsed="false">
      <c r="A20" s="2" t="s">
        <v>96</v>
      </c>
      <c r="B20" s="3" t="s">
        <v>97</v>
      </c>
      <c r="C20" s="3" t="s">
        <v>98</v>
      </c>
      <c r="D20" s="2" t="s">
        <v>79</v>
      </c>
      <c r="E20" s="2" t="s">
        <v>99</v>
      </c>
      <c r="F20" s="2" t="s">
        <v>14</v>
      </c>
      <c r="G20" s="9" t="s">
        <v>30</v>
      </c>
      <c r="H20" s="2" t="s">
        <v>16</v>
      </c>
      <c r="I20" s="3" t="s">
        <v>100</v>
      </c>
    </row>
    <row r="21" customFormat="false" ht="15" hidden="false" customHeight="false" outlineLevel="0" collapsed="false">
      <c r="A21" s="5" t="s">
        <v>101</v>
      </c>
      <c r="B21" s="6" t="s">
        <v>102</v>
      </c>
      <c r="C21" s="6" t="s">
        <v>103</v>
      </c>
      <c r="D21" s="5" t="s">
        <v>79</v>
      </c>
      <c r="E21" s="5" t="s">
        <v>35</v>
      </c>
      <c r="F21" s="5" t="s">
        <v>14</v>
      </c>
      <c r="G21" s="11" t="s">
        <v>65</v>
      </c>
      <c r="H21" s="5" t="s">
        <v>16</v>
      </c>
      <c r="I21" s="6"/>
    </row>
    <row r="22" customFormat="false" ht="15" hidden="false" customHeight="false" outlineLevel="0" collapsed="false">
      <c r="A22" s="2" t="s">
        <v>104</v>
      </c>
      <c r="B22" s="3" t="s">
        <v>105</v>
      </c>
      <c r="C22" s="3" t="s">
        <v>106</v>
      </c>
      <c r="D22" s="2" t="s">
        <v>79</v>
      </c>
      <c r="E22" s="2" t="s">
        <v>35</v>
      </c>
      <c r="F22" s="2" t="s">
        <v>14</v>
      </c>
      <c r="G22" s="10" t="s">
        <v>65</v>
      </c>
      <c r="H22" s="2" t="s">
        <v>16</v>
      </c>
      <c r="I22" s="3"/>
    </row>
    <row r="23" customFormat="false" ht="15" hidden="false" customHeight="false" outlineLevel="0" collapsed="false">
      <c r="A23" s="5" t="s">
        <v>107</v>
      </c>
      <c r="B23" s="6" t="s">
        <v>108</v>
      </c>
      <c r="C23" s="6" t="s">
        <v>109</v>
      </c>
      <c r="D23" s="5" t="s">
        <v>79</v>
      </c>
      <c r="E23" s="5" t="s">
        <v>40</v>
      </c>
      <c r="F23" s="5" t="s">
        <v>14</v>
      </c>
      <c r="G23" s="11" t="s">
        <v>65</v>
      </c>
      <c r="H23" s="5" t="s">
        <v>16</v>
      </c>
      <c r="I23" s="6"/>
    </row>
    <row r="24" customFormat="false" ht="15" hidden="false" customHeight="false" outlineLevel="0" collapsed="false">
      <c r="A24" s="2" t="s">
        <v>110</v>
      </c>
      <c r="B24" s="3" t="s">
        <v>111</v>
      </c>
      <c r="C24" s="3" t="s">
        <v>112</v>
      </c>
      <c r="D24" s="2" t="s">
        <v>79</v>
      </c>
      <c r="E24" s="2" t="s">
        <v>35</v>
      </c>
      <c r="F24" s="2" t="s">
        <v>14</v>
      </c>
      <c r="G24" s="9" t="s">
        <v>30</v>
      </c>
      <c r="H24" s="2" t="s">
        <v>16</v>
      </c>
      <c r="I24" s="3" t="s">
        <v>113</v>
      </c>
    </row>
    <row r="25" customFormat="false" ht="15" hidden="false" customHeight="false" outlineLevel="0" collapsed="false">
      <c r="A25" s="5" t="s">
        <v>114</v>
      </c>
      <c r="B25" s="6" t="s">
        <v>115</v>
      </c>
      <c r="C25" s="6" t="s">
        <v>116</v>
      </c>
      <c r="D25" s="5" t="s">
        <v>79</v>
      </c>
      <c r="E25" s="5" t="s">
        <v>25</v>
      </c>
      <c r="F25" s="5" t="s">
        <v>14</v>
      </c>
      <c r="G25" s="8" t="s">
        <v>30</v>
      </c>
      <c r="H25" s="5" t="s">
        <v>16</v>
      </c>
      <c r="I25" s="6"/>
    </row>
    <row r="26" customFormat="false" ht="15" hidden="false" customHeight="false" outlineLevel="0" collapsed="false">
      <c r="A26" s="2" t="s">
        <v>117</v>
      </c>
      <c r="B26" s="3" t="s">
        <v>118</v>
      </c>
      <c r="C26" s="3" t="s">
        <v>119</v>
      </c>
      <c r="D26" s="2" t="s">
        <v>79</v>
      </c>
      <c r="E26" s="2" t="s">
        <v>25</v>
      </c>
      <c r="F26" s="2" t="s">
        <v>14</v>
      </c>
      <c r="G26" s="10" t="s">
        <v>65</v>
      </c>
      <c r="H26" s="2" t="s">
        <v>16</v>
      </c>
      <c r="I26" s="3" t="s">
        <v>120</v>
      </c>
    </row>
    <row r="27" customFormat="false" ht="15" hidden="false" customHeight="false" outlineLevel="0" collapsed="false">
      <c r="A27" s="5" t="s">
        <v>121</v>
      </c>
      <c r="B27" s="6" t="s">
        <v>122</v>
      </c>
      <c r="C27" s="6" t="s">
        <v>123</v>
      </c>
      <c r="D27" s="5" t="s">
        <v>79</v>
      </c>
      <c r="E27" s="5" t="s">
        <v>35</v>
      </c>
      <c r="F27" s="5" t="s">
        <v>14</v>
      </c>
      <c r="G27" s="11" t="s">
        <v>65</v>
      </c>
      <c r="H27" s="5" t="s">
        <v>16</v>
      </c>
      <c r="I27" s="6"/>
    </row>
    <row r="28" customFormat="false" ht="15" hidden="false" customHeight="false" outlineLevel="0" collapsed="false">
      <c r="A28" s="2" t="s">
        <v>124</v>
      </c>
      <c r="B28" s="3" t="s">
        <v>125</v>
      </c>
      <c r="C28" s="3" t="s">
        <v>126</v>
      </c>
      <c r="D28" s="2" t="s">
        <v>79</v>
      </c>
      <c r="E28" s="2" t="s">
        <v>127</v>
      </c>
      <c r="F28" s="2" t="s">
        <v>14</v>
      </c>
      <c r="G28" s="9" t="s">
        <v>30</v>
      </c>
      <c r="H28" s="2" t="s">
        <v>16</v>
      </c>
      <c r="I28" s="3" t="s">
        <v>128</v>
      </c>
    </row>
    <row r="29" customFormat="false" ht="15" hidden="false" customHeight="false" outlineLevel="0" collapsed="false">
      <c r="A29" s="5" t="s">
        <v>129</v>
      </c>
      <c r="B29" s="6" t="s">
        <v>130</v>
      </c>
      <c r="C29" s="6" t="s">
        <v>131</v>
      </c>
      <c r="D29" s="5" t="s">
        <v>79</v>
      </c>
      <c r="E29" s="5" t="s">
        <v>35</v>
      </c>
      <c r="F29" s="5" t="s">
        <v>14</v>
      </c>
      <c r="G29" s="11" t="s">
        <v>65</v>
      </c>
      <c r="H29" s="5" t="s">
        <v>16</v>
      </c>
      <c r="I29" s="6"/>
    </row>
    <row r="30" customFormat="false" ht="15" hidden="false" customHeight="false" outlineLevel="0" collapsed="false">
      <c r="A30" s="2" t="s">
        <v>132</v>
      </c>
      <c r="B30" s="3" t="s">
        <v>133</v>
      </c>
      <c r="C30" s="3" t="s">
        <v>134</v>
      </c>
      <c r="D30" s="2" t="s">
        <v>79</v>
      </c>
      <c r="E30" s="2" t="s">
        <v>35</v>
      </c>
      <c r="F30" s="2" t="s">
        <v>14</v>
      </c>
      <c r="G30" s="10" t="s">
        <v>65</v>
      </c>
      <c r="H30" s="2" t="s">
        <v>16</v>
      </c>
      <c r="I30" s="3"/>
    </row>
    <row r="31" customFormat="false" ht="15" hidden="false" customHeight="false" outlineLevel="0" collapsed="false">
      <c r="A31" s="5" t="s">
        <v>135</v>
      </c>
      <c r="B31" s="6" t="s">
        <v>136</v>
      </c>
      <c r="C31" s="6" t="s">
        <v>137</v>
      </c>
      <c r="D31" s="5" t="s">
        <v>79</v>
      </c>
      <c r="E31" s="5" t="s">
        <v>25</v>
      </c>
      <c r="F31" s="5" t="s">
        <v>14</v>
      </c>
      <c r="G31" s="8" t="s">
        <v>30</v>
      </c>
      <c r="H31" s="5" t="s">
        <v>16</v>
      </c>
      <c r="I31" s="6" t="s">
        <v>138</v>
      </c>
    </row>
    <row r="32" customFormat="false" ht="15" hidden="false" customHeight="false" outlineLevel="0" collapsed="false">
      <c r="A32" s="2" t="s">
        <v>139</v>
      </c>
      <c r="B32" s="3" t="s">
        <v>140</v>
      </c>
      <c r="C32" s="3" t="s">
        <v>141</v>
      </c>
      <c r="D32" s="2" t="s">
        <v>79</v>
      </c>
      <c r="E32" s="2" t="s">
        <v>25</v>
      </c>
      <c r="F32" s="2" t="s">
        <v>14</v>
      </c>
      <c r="G32" s="4" t="s">
        <v>15</v>
      </c>
      <c r="H32" s="2" t="s">
        <v>16</v>
      </c>
      <c r="I32" s="3" t="s">
        <v>142</v>
      </c>
    </row>
    <row r="33" customFormat="false" ht="15" hidden="false" customHeight="false" outlineLevel="0" collapsed="false">
      <c r="A33" s="5" t="s">
        <v>143</v>
      </c>
      <c r="B33" s="6" t="s">
        <v>144</v>
      </c>
      <c r="C33" s="6" t="s">
        <v>145</v>
      </c>
      <c r="D33" s="5" t="s">
        <v>146</v>
      </c>
      <c r="E33" s="5" t="s">
        <v>25</v>
      </c>
      <c r="F33" s="5" t="s">
        <v>14</v>
      </c>
      <c r="G33" s="8" t="s">
        <v>30</v>
      </c>
      <c r="H33" s="5" t="s">
        <v>16</v>
      </c>
      <c r="I33" s="6"/>
    </row>
    <row r="34" customFormat="false" ht="15" hidden="false" customHeight="false" outlineLevel="0" collapsed="false">
      <c r="A34" s="2" t="s">
        <v>147</v>
      </c>
      <c r="B34" s="3" t="s">
        <v>148</v>
      </c>
      <c r="C34" s="3" t="s">
        <v>149</v>
      </c>
      <c r="D34" s="2" t="s">
        <v>79</v>
      </c>
      <c r="E34" s="2" t="s">
        <v>35</v>
      </c>
      <c r="F34" s="2" t="s">
        <v>14</v>
      </c>
      <c r="G34" s="10" t="s">
        <v>65</v>
      </c>
      <c r="H34" s="2" t="s">
        <v>16</v>
      </c>
      <c r="I34" s="3"/>
    </row>
    <row r="35" customFormat="false" ht="15" hidden="false" customHeight="false" outlineLevel="0" collapsed="false">
      <c r="A35" s="5" t="s">
        <v>150</v>
      </c>
      <c r="B35" s="6" t="s">
        <v>151</v>
      </c>
      <c r="C35" s="6" t="s">
        <v>152</v>
      </c>
      <c r="D35" s="5" t="s">
        <v>153</v>
      </c>
      <c r="E35" s="5" t="s">
        <v>154</v>
      </c>
      <c r="F35" s="5" t="s">
        <v>64</v>
      </c>
      <c r="G35" s="11" t="s">
        <v>65</v>
      </c>
      <c r="H35" s="5" t="s">
        <v>16</v>
      </c>
      <c r="I35" s="6" t="s">
        <v>155</v>
      </c>
    </row>
    <row r="36" customFormat="false" ht="23.85" hidden="false" customHeight="false" outlineLevel="0" collapsed="false">
      <c r="A36" s="2" t="s">
        <v>156</v>
      </c>
      <c r="B36" s="3" t="s">
        <v>157</v>
      </c>
      <c r="C36" s="3" t="s">
        <v>158</v>
      </c>
      <c r="D36" s="2" t="s">
        <v>90</v>
      </c>
      <c r="E36" s="2" t="s">
        <v>53</v>
      </c>
      <c r="F36" s="2" t="s">
        <v>64</v>
      </c>
      <c r="G36" s="9" t="s">
        <v>30</v>
      </c>
      <c r="H36" s="2" t="s">
        <v>16</v>
      </c>
      <c r="I36" s="3" t="s">
        <v>159</v>
      </c>
    </row>
    <row r="37" customFormat="false" ht="15" hidden="false" customHeight="false" outlineLevel="0" collapsed="false">
      <c r="A37" s="5" t="s">
        <v>160</v>
      </c>
      <c r="B37" s="6" t="s">
        <v>161</v>
      </c>
      <c r="C37" s="6" t="s">
        <v>162</v>
      </c>
      <c r="D37" s="5" t="s">
        <v>79</v>
      </c>
      <c r="E37" s="5" t="s">
        <v>74</v>
      </c>
      <c r="F37" s="5" t="s">
        <v>64</v>
      </c>
      <c r="G37" s="11" t="s">
        <v>65</v>
      </c>
      <c r="H37" s="5" t="s">
        <v>16</v>
      </c>
      <c r="I37" s="6"/>
    </row>
    <row r="38" customFormat="false" ht="15" hidden="false" customHeight="false" outlineLevel="0" collapsed="false">
      <c r="A38" s="2" t="s">
        <v>163</v>
      </c>
      <c r="B38" s="3" t="s">
        <v>164</v>
      </c>
      <c r="C38" s="3" t="s">
        <v>165</v>
      </c>
      <c r="D38" s="2" t="s">
        <v>166</v>
      </c>
      <c r="E38" s="2" t="s">
        <v>59</v>
      </c>
      <c r="F38" s="2" t="s">
        <v>64</v>
      </c>
      <c r="G38" s="10" t="s">
        <v>65</v>
      </c>
      <c r="H38" s="2" t="s">
        <v>16</v>
      </c>
      <c r="I38" s="3"/>
    </row>
    <row r="39" customFormat="false" ht="15" hidden="false" customHeight="false" outlineLevel="0" collapsed="false">
      <c r="A39" s="5" t="s">
        <v>167</v>
      </c>
      <c r="B39" s="6" t="s">
        <v>168</v>
      </c>
      <c r="C39" s="6" t="s">
        <v>169</v>
      </c>
      <c r="D39" s="5" t="s">
        <v>146</v>
      </c>
      <c r="E39" s="5" t="s">
        <v>170</v>
      </c>
      <c r="F39" s="5" t="s">
        <v>64</v>
      </c>
      <c r="G39" s="11" t="s">
        <v>65</v>
      </c>
      <c r="H39" s="5" t="s">
        <v>16</v>
      </c>
      <c r="I39" s="6"/>
    </row>
    <row r="40" customFormat="false" ht="15" hidden="false" customHeight="false" outlineLevel="0" collapsed="false">
      <c r="A40" s="2" t="s">
        <v>171</v>
      </c>
      <c r="B40" s="3" t="s">
        <v>172</v>
      </c>
      <c r="C40" s="3" t="s">
        <v>173</v>
      </c>
      <c r="D40" s="2" t="s">
        <v>146</v>
      </c>
      <c r="E40" s="2" t="s">
        <v>174</v>
      </c>
      <c r="F40" s="2" t="s">
        <v>64</v>
      </c>
      <c r="G40" s="9" t="s">
        <v>30</v>
      </c>
      <c r="H40" s="2" t="s">
        <v>16</v>
      </c>
      <c r="I40" s="3"/>
    </row>
    <row r="41" customFormat="false" ht="15" hidden="false" customHeight="false" outlineLevel="0" collapsed="false">
      <c r="A41" s="5" t="s">
        <v>175</v>
      </c>
      <c r="B41" s="6" t="s">
        <v>176</v>
      </c>
      <c r="C41" s="6" t="s">
        <v>177</v>
      </c>
      <c r="D41" s="5" t="s">
        <v>79</v>
      </c>
      <c r="E41" s="5" t="s">
        <v>59</v>
      </c>
      <c r="F41" s="5" t="s">
        <v>64</v>
      </c>
      <c r="G41" s="11" t="s">
        <v>65</v>
      </c>
      <c r="H41" s="5" t="s">
        <v>16</v>
      </c>
      <c r="I41" s="6"/>
    </row>
    <row r="42" customFormat="false" ht="15" hidden="false" customHeight="false" outlineLevel="0" collapsed="false">
      <c r="A42" s="2" t="s">
        <v>178</v>
      </c>
      <c r="B42" s="3" t="s">
        <v>179</v>
      </c>
      <c r="C42" s="3" t="s">
        <v>180</v>
      </c>
      <c r="D42" s="2" t="s">
        <v>181</v>
      </c>
      <c r="E42" s="2" t="s">
        <v>59</v>
      </c>
      <c r="F42" s="2" t="s">
        <v>64</v>
      </c>
      <c r="G42" s="10" t="s">
        <v>65</v>
      </c>
      <c r="H42" s="2" t="s">
        <v>16</v>
      </c>
      <c r="I42" s="3"/>
    </row>
    <row r="43" customFormat="false" ht="23.85" hidden="false" customHeight="false" outlineLevel="0" collapsed="false">
      <c r="A43" s="5" t="s">
        <v>182</v>
      </c>
      <c r="B43" s="6" t="s">
        <v>183</v>
      </c>
      <c r="C43" s="6" t="s">
        <v>184</v>
      </c>
      <c r="D43" s="5" t="s">
        <v>185</v>
      </c>
      <c r="E43" s="5" t="s">
        <v>25</v>
      </c>
      <c r="F43" s="5" t="s">
        <v>54</v>
      </c>
      <c r="G43" s="7" t="s">
        <v>15</v>
      </c>
      <c r="H43" s="5" t="s">
        <v>16</v>
      </c>
      <c r="I43" s="6" t="s">
        <v>186</v>
      </c>
    </row>
    <row r="44" customFormat="false" ht="15" hidden="false" customHeight="false" outlineLevel="0" collapsed="false">
      <c r="A44" s="2" t="s">
        <v>187</v>
      </c>
      <c r="B44" s="3" t="s">
        <v>188</v>
      </c>
      <c r="C44" s="3" t="s">
        <v>189</v>
      </c>
      <c r="D44" s="2" t="s">
        <v>185</v>
      </c>
      <c r="E44" s="2" t="s">
        <v>25</v>
      </c>
      <c r="F44" s="2" t="s">
        <v>64</v>
      </c>
      <c r="G44" s="9" t="s">
        <v>30</v>
      </c>
      <c r="H44" s="2" t="s">
        <v>16</v>
      </c>
      <c r="I44" s="3"/>
    </row>
    <row r="45" customFormat="false" ht="15" hidden="false" customHeight="false" outlineLevel="0" collapsed="false">
      <c r="A45" s="5" t="s">
        <v>190</v>
      </c>
      <c r="B45" s="6" t="s">
        <v>191</v>
      </c>
      <c r="C45" s="6" t="s">
        <v>192</v>
      </c>
      <c r="D45" s="5" t="s">
        <v>185</v>
      </c>
      <c r="E45" s="5" t="s">
        <v>193</v>
      </c>
      <c r="F45" s="5" t="s">
        <v>14</v>
      </c>
      <c r="G45" s="7" t="s">
        <v>15</v>
      </c>
      <c r="H45" s="5" t="s">
        <v>16</v>
      </c>
      <c r="I45" s="6" t="s">
        <v>194</v>
      </c>
    </row>
    <row r="46" customFormat="false" ht="15" hidden="false" customHeight="false" outlineLevel="0" collapsed="false">
      <c r="A46" s="2" t="s">
        <v>195</v>
      </c>
      <c r="B46" s="3" t="s">
        <v>196</v>
      </c>
      <c r="C46" s="3" t="s">
        <v>197</v>
      </c>
      <c r="D46" s="2" t="s">
        <v>185</v>
      </c>
      <c r="E46" s="2" t="s">
        <v>25</v>
      </c>
      <c r="F46" s="2" t="s">
        <v>14</v>
      </c>
      <c r="G46" s="9" t="s">
        <v>30</v>
      </c>
      <c r="H46" s="2" t="s">
        <v>16</v>
      </c>
      <c r="I46" s="3" t="s">
        <v>198</v>
      </c>
    </row>
    <row r="47" customFormat="false" ht="15" hidden="false" customHeight="false" outlineLevel="0" collapsed="false">
      <c r="A47" s="5" t="s">
        <v>199</v>
      </c>
      <c r="B47" s="6" t="s">
        <v>200</v>
      </c>
      <c r="C47" s="6" t="s">
        <v>201</v>
      </c>
      <c r="D47" s="5" t="s">
        <v>185</v>
      </c>
      <c r="E47" s="5" t="s">
        <v>25</v>
      </c>
      <c r="F47" s="5" t="s">
        <v>14</v>
      </c>
      <c r="G47" s="8" t="s">
        <v>30</v>
      </c>
      <c r="H47" s="5" t="s">
        <v>16</v>
      </c>
      <c r="I47" s="6"/>
    </row>
    <row r="48" customFormat="false" ht="15" hidden="false" customHeight="false" outlineLevel="0" collapsed="false">
      <c r="A48" s="2" t="s">
        <v>202</v>
      </c>
      <c r="B48" s="3" t="s">
        <v>203</v>
      </c>
      <c r="C48" s="3" t="s">
        <v>204</v>
      </c>
      <c r="D48" s="2" t="s">
        <v>185</v>
      </c>
      <c r="E48" s="2" t="s">
        <v>25</v>
      </c>
      <c r="F48" s="2" t="s">
        <v>54</v>
      </c>
      <c r="G48" s="4" t="s">
        <v>15</v>
      </c>
      <c r="H48" s="2" t="s">
        <v>16</v>
      </c>
      <c r="I48" s="3"/>
    </row>
    <row r="49" customFormat="false" ht="15" hidden="false" customHeight="false" outlineLevel="0" collapsed="false">
      <c r="A49" s="5" t="s">
        <v>205</v>
      </c>
      <c r="B49" s="6" t="s">
        <v>206</v>
      </c>
      <c r="C49" s="6" t="s">
        <v>207</v>
      </c>
      <c r="D49" s="5" t="s">
        <v>185</v>
      </c>
      <c r="E49" s="5" t="s">
        <v>25</v>
      </c>
      <c r="F49" s="5" t="s">
        <v>14</v>
      </c>
      <c r="G49" s="7" t="s">
        <v>15</v>
      </c>
      <c r="H49" s="5" t="s">
        <v>16</v>
      </c>
      <c r="I49" s="6" t="s">
        <v>208</v>
      </c>
    </row>
    <row r="50" customFormat="false" ht="15" hidden="false" customHeight="false" outlineLevel="0" collapsed="false">
      <c r="A50" s="2" t="s">
        <v>209</v>
      </c>
      <c r="B50" s="3" t="s">
        <v>210</v>
      </c>
      <c r="C50" s="3" t="s">
        <v>211</v>
      </c>
      <c r="D50" s="2" t="s">
        <v>185</v>
      </c>
      <c r="E50" s="2" t="s">
        <v>59</v>
      </c>
      <c r="F50" s="2" t="s">
        <v>14</v>
      </c>
      <c r="G50" s="9" t="s">
        <v>30</v>
      </c>
      <c r="H50" s="2" t="s">
        <v>16</v>
      </c>
      <c r="I50" s="3"/>
    </row>
    <row r="51" customFormat="false" ht="15" hidden="false" customHeight="false" outlineLevel="0" collapsed="false">
      <c r="A51" s="5" t="s">
        <v>212</v>
      </c>
      <c r="B51" s="6" t="s">
        <v>213</v>
      </c>
      <c r="C51" s="6" t="s">
        <v>214</v>
      </c>
      <c r="D51" s="5" t="s">
        <v>215</v>
      </c>
      <c r="E51" s="5" t="s">
        <v>49</v>
      </c>
      <c r="F51" s="5" t="s">
        <v>14</v>
      </c>
      <c r="G51" s="7" t="s">
        <v>15</v>
      </c>
      <c r="H51" s="5" t="s">
        <v>16</v>
      </c>
      <c r="I51" s="6" t="s">
        <v>216</v>
      </c>
    </row>
    <row r="52" customFormat="false" ht="15" hidden="false" customHeight="false" outlineLevel="0" collapsed="false">
      <c r="A52" s="2" t="s">
        <v>217</v>
      </c>
      <c r="B52" s="3" t="s">
        <v>218</v>
      </c>
      <c r="C52" s="3" t="s">
        <v>219</v>
      </c>
      <c r="D52" s="2" t="s">
        <v>185</v>
      </c>
      <c r="E52" s="2" t="s">
        <v>53</v>
      </c>
      <c r="F52" s="2" t="s">
        <v>14</v>
      </c>
      <c r="G52" s="9" t="s">
        <v>30</v>
      </c>
      <c r="H52" s="2" t="s">
        <v>16</v>
      </c>
      <c r="I52" s="3"/>
    </row>
    <row r="53" customFormat="false" ht="15" hidden="false" customHeight="false" outlineLevel="0" collapsed="false">
      <c r="A53" s="5" t="s">
        <v>220</v>
      </c>
      <c r="B53" s="6" t="s">
        <v>221</v>
      </c>
      <c r="C53" s="6" t="s">
        <v>222</v>
      </c>
      <c r="D53" s="5" t="s">
        <v>223</v>
      </c>
      <c r="E53" s="5" t="s">
        <v>25</v>
      </c>
      <c r="F53" s="5" t="s">
        <v>14</v>
      </c>
      <c r="G53" s="8" t="s">
        <v>30</v>
      </c>
      <c r="H53" s="5" t="s">
        <v>16</v>
      </c>
      <c r="I53" s="6"/>
    </row>
    <row r="54" customFormat="false" ht="15" hidden="false" customHeight="false" outlineLevel="0" collapsed="false">
      <c r="A54" s="2" t="s">
        <v>224</v>
      </c>
      <c r="B54" s="3" t="s">
        <v>225</v>
      </c>
      <c r="C54" s="3" t="s">
        <v>226</v>
      </c>
      <c r="D54" s="2" t="s">
        <v>223</v>
      </c>
      <c r="E54" s="2" t="s">
        <v>35</v>
      </c>
      <c r="F54" s="2" t="s">
        <v>14</v>
      </c>
      <c r="G54" s="10" t="s">
        <v>65</v>
      </c>
      <c r="H54" s="2" t="s">
        <v>16</v>
      </c>
      <c r="I54" s="3"/>
    </row>
    <row r="55" customFormat="false" ht="15" hidden="false" customHeight="false" outlineLevel="0" collapsed="false">
      <c r="A55" s="5" t="s">
        <v>227</v>
      </c>
      <c r="B55" s="6" t="s">
        <v>228</v>
      </c>
      <c r="C55" s="6" t="s">
        <v>229</v>
      </c>
      <c r="D55" s="5" t="s">
        <v>223</v>
      </c>
      <c r="E55" s="5" t="s">
        <v>25</v>
      </c>
      <c r="F55" s="5" t="s">
        <v>14</v>
      </c>
      <c r="G55" s="11" t="s">
        <v>65</v>
      </c>
      <c r="H55" s="5" t="s">
        <v>16</v>
      </c>
      <c r="I55" s="6"/>
    </row>
    <row r="56" customFormat="false" ht="23.85" hidden="false" customHeight="false" outlineLevel="0" collapsed="false">
      <c r="A56" s="2" t="s">
        <v>230</v>
      </c>
      <c r="B56" s="3" t="s">
        <v>231</v>
      </c>
      <c r="C56" s="3" t="s">
        <v>232</v>
      </c>
      <c r="D56" s="2" t="s">
        <v>44</v>
      </c>
      <c r="E56" s="2" t="s">
        <v>35</v>
      </c>
      <c r="F56" s="2" t="s">
        <v>14</v>
      </c>
      <c r="G56" s="9" t="s">
        <v>30</v>
      </c>
      <c r="H56" s="2" t="s">
        <v>16</v>
      </c>
      <c r="I56" s="3"/>
    </row>
    <row r="57" customFormat="false" ht="15" hidden="false" customHeight="false" outlineLevel="0" collapsed="false">
      <c r="A57" s="5" t="s">
        <v>233</v>
      </c>
      <c r="B57" s="6" t="s">
        <v>234</v>
      </c>
      <c r="C57" s="6" t="s">
        <v>235</v>
      </c>
      <c r="D57" s="5" t="s">
        <v>223</v>
      </c>
      <c r="E57" s="5" t="s">
        <v>53</v>
      </c>
      <c r="F57" s="5" t="s">
        <v>14</v>
      </c>
      <c r="G57" s="11" t="s">
        <v>65</v>
      </c>
      <c r="H57" s="5" t="s">
        <v>16</v>
      </c>
      <c r="I57" s="6"/>
    </row>
    <row r="58" customFormat="false" ht="23.85" hidden="false" customHeight="false" outlineLevel="0" collapsed="false">
      <c r="A58" s="2" t="s">
        <v>236</v>
      </c>
      <c r="B58" s="3" t="s">
        <v>237</v>
      </c>
      <c r="C58" s="3" t="s">
        <v>238</v>
      </c>
      <c r="D58" s="2" t="s">
        <v>223</v>
      </c>
      <c r="E58" s="2" t="s">
        <v>239</v>
      </c>
      <c r="F58" s="2" t="s">
        <v>64</v>
      </c>
      <c r="G58" s="10" t="s">
        <v>65</v>
      </c>
      <c r="H58" s="2" t="s">
        <v>16</v>
      </c>
      <c r="I58" s="3"/>
    </row>
    <row r="59" customFormat="false" ht="23.85" hidden="false" customHeight="false" outlineLevel="0" collapsed="false">
      <c r="A59" s="5" t="s">
        <v>240</v>
      </c>
      <c r="B59" s="6" t="s">
        <v>241</v>
      </c>
      <c r="C59" s="6" t="s">
        <v>242</v>
      </c>
      <c r="D59" s="5" t="s">
        <v>223</v>
      </c>
      <c r="E59" s="5" t="s">
        <v>170</v>
      </c>
      <c r="F59" s="5" t="s">
        <v>64</v>
      </c>
      <c r="G59" s="8" t="s">
        <v>30</v>
      </c>
      <c r="H59" s="5" t="s">
        <v>16</v>
      </c>
      <c r="I59" s="6" t="s">
        <v>243</v>
      </c>
    </row>
    <row r="60" customFormat="false" ht="15" hidden="false" customHeight="false" outlineLevel="0" collapsed="false">
      <c r="A60" s="2" t="s">
        <v>244</v>
      </c>
      <c r="B60" s="3" t="s">
        <v>245</v>
      </c>
      <c r="C60" s="3" t="s">
        <v>246</v>
      </c>
      <c r="D60" s="2" t="s">
        <v>223</v>
      </c>
      <c r="E60" s="2" t="s">
        <v>25</v>
      </c>
      <c r="F60" s="2" t="s">
        <v>14</v>
      </c>
      <c r="G60" s="10" t="s">
        <v>65</v>
      </c>
      <c r="H60" s="2" t="s">
        <v>16</v>
      </c>
      <c r="I60" s="3"/>
    </row>
  </sheetData>
  <autoFilter ref="A1:I60"/>
  <dataValidations count="2">
    <dataValidation allowBlank="true" errorStyle="stop" operator="between" showDropDown="false" showErrorMessage="false" showInputMessage="false" sqref="H2:H60" type="list">
      <formula1>"To do,WIP,Review,Done"</formula1>
      <formula2>0</formula2>
    </dataValidation>
    <dataValidation allowBlank="true" errorStyle="stop" operator="between" showDropDown="false" showErrorMessage="false" showInputMessage="false" sqref="G2:G60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7.15" hidden="false" customHeight="false" outlineLevel="0" collapsed="false">
      <c r="A1" s="12" t="s">
        <v>247</v>
      </c>
    </row>
    <row r="3" customFormat="false" ht="15" hidden="false" customHeight="false" outlineLevel="0" collapsed="false">
      <c r="A3" s="13" t="s">
        <v>248</v>
      </c>
      <c r="B3" s="14"/>
    </row>
    <row r="4" customFormat="false" ht="15" hidden="false" customHeight="false" outlineLevel="0" collapsed="false">
      <c r="A4" s="15" t="s">
        <v>249</v>
      </c>
      <c r="B4" s="15" t="n">
        <f aca="false">COUNTIF('Environment Assets'!$G$2:$G$60,"P0")</f>
        <v>13</v>
      </c>
    </row>
    <row r="5" customFormat="false" ht="15" hidden="false" customHeight="false" outlineLevel="0" collapsed="false">
      <c r="A5" s="15" t="s">
        <v>250</v>
      </c>
      <c r="B5" s="15" t="n">
        <f aca="false">COUNTIF('Environment Assets'!$G$2:$G$60,"P1")</f>
        <v>24</v>
      </c>
    </row>
    <row r="6" customFormat="false" ht="15" hidden="false" customHeight="false" outlineLevel="0" collapsed="false">
      <c r="A6" s="15" t="s">
        <v>251</v>
      </c>
      <c r="B6" s="15" t="n">
        <f aca="false">COUNTIF('Environment Assets'!$G$2:$G$60,"P2")</f>
        <v>22</v>
      </c>
    </row>
    <row r="7" customFormat="false" ht="15" hidden="false" customHeight="false" outlineLevel="0" collapsed="false">
      <c r="A7" s="16" t="s">
        <v>252</v>
      </c>
      <c r="B7" s="16" t="n">
        <f aca="false">COUNTA('Environment Assets'!$A$2:$A$60)</f>
        <v>59</v>
      </c>
    </row>
    <row r="9" customFormat="false" ht="15" hidden="false" customHeight="false" outlineLevel="0" collapsed="false">
      <c r="A9" s="13" t="s">
        <v>253</v>
      </c>
      <c r="B9" s="14"/>
    </row>
    <row r="10" customFormat="false" ht="15" hidden="false" customHeight="false" outlineLevel="0" collapsed="false">
      <c r="A10" s="15" t="s">
        <v>12</v>
      </c>
      <c r="B10" s="15" t="n">
        <f aca="false">COUNTIF('Environment Assets'!$D$2:$D$60,"*Tile*")</f>
        <v>14</v>
      </c>
    </row>
    <row r="11" customFormat="false" ht="15" hidden="false" customHeight="false" outlineLevel="0" collapsed="false">
      <c r="A11" s="15" t="s">
        <v>79</v>
      </c>
      <c r="B11" s="15" t="n">
        <f aca="false">COUNTIF('Environment Assets'!$D$2:$D$60,"*Prop*")</f>
        <v>24</v>
      </c>
    </row>
    <row r="12" customFormat="false" ht="15" hidden="false" customHeight="false" outlineLevel="0" collapsed="false">
      <c r="A12" s="15" t="s">
        <v>146</v>
      </c>
      <c r="B12" s="15" t="n">
        <f aca="false">COUNTIF('Environment Assets'!$D$2:$D$60,"*Decal*")</f>
        <v>4</v>
      </c>
    </row>
    <row r="13" customFormat="false" ht="15" hidden="false" customHeight="false" outlineLevel="0" collapsed="false">
      <c r="A13" s="15" t="s">
        <v>185</v>
      </c>
      <c r="B13" s="15" t="n">
        <f aca="false">COUNTIF('Environment Assets'!$D$2:$D$60,"*Interactive*")</f>
        <v>11</v>
      </c>
    </row>
    <row r="14" customFormat="false" ht="15" hidden="false" customHeight="false" outlineLevel="0" collapsed="false">
      <c r="A14" s="15" t="s">
        <v>223</v>
      </c>
      <c r="B14" s="15" t="n">
        <f aca="false">COUNTIF('Environment Assets'!$D$2:$D$60,"*FX*")</f>
        <v>11</v>
      </c>
    </row>
    <row r="15" customFormat="false" ht="15" hidden="false" customHeight="false" outlineLevel="0" collapsed="false">
      <c r="A15" s="15" t="s">
        <v>44</v>
      </c>
      <c r="B15" s="15" t="n">
        <f aca="false">COUNTIF('Environment Assets'!$D$2:$D$60,"*Background*")</f>
        <v>2</v>
      </c>
    </row>
    <row r="17" customFormat="false" ht="15" hidden="false" customHeight="false" outlineLevel="0" collapsed="false">
      <c r="A17" s="13" t="s">
        <v>254</v>
      </c>
      <c r="B17" s="14"/>
    </row>
    <row r="18" customFormat="false" ht="15" hidden="false" customHeight="false" outlineLevel="0" collapsed="false">
      <c r="A18" s="15" t="s">
        <v>16</v>
      </c>
      <c r="B18" s="15" t="n">
        <f aca="false">COUNTIF('Environment Assets'!$H$2:$H$60,"To do")</f>
        <v>59</v>
      </c>
    </row>
    <row r="19" customFormat="false" ht="15" hidden="false" customHeight="false" outlineLevel="0" collapsed="false">
      <c r="A19" s="15" t="s">
        <v>255</v>
      </c>
      <c r="B19" s="15" t="n">
        <f aca="false">COUNTIF('Environment Assets'!$H$2:$H$60,"WIP")</f>
        <v>0</v>
      </c>
    </row>
    <row r="20" customFormat="false" ht="15" hidden="false" customHeight="false" outlineLevel="0" collapsed="false">
      <c r="A20" s="15" t="s">
        <v>256</v>
      </c>
      <c r="B20" s="15" t="n">
        <f aca="false">COUNTIF('Environment Assets'!$H$2:$H$60,"Review")</f>
        <v>0</v>
      </c>
    </row>
    <row r="21" customFormat="false" ht="15" hidden="false" customHeight="false" outlineLevel="0" collapsed="false">
      <c r="A21" s="15" t="s">
        <v>257</v>
      </c>
      <c r="B21" s="15" t="n">
        <f aca="false">COUNTIF('Environment Assets'!$H$2:$H$60,"Done")</f>
        <v>0</v>
      </c>
    </row>
    <row r="23" customFormat="false" ht="15" hidden="false" customHeight="false" outlineLevel="0" collapsed="false">
      <c r="A23" s="17" t="s">
        <v>258</v>
      </c>
    </row>
    <row r="24" customFormat="false" ht="15" hidden="false" customHeight="false" outlineLevel="0" collapsed="false">
      <c r="A24" s="15" t="s">
        <v>259</v>
      </c>
    </row>
    <row r="25" customFormat="false" ht="15" hidden="false" customHeight="false" outlineLevel="0" collapsed="false">
      <c r="A25" s="15" t="s">
        <v>260</v>
      </c>
    </row>
    <row r="26" customFormat="false" ht="15" hidden="false" customHeight="false" outlineLevel="0" collapsed="false">
      <c r="A26" s="15" t="s">
        <v>261</v>
      </c>
    </row>
    <row r="27" customFormat="false" ht="15" hidden="false" customHeight="false" outlineLevel="0" collapsed="false">
      <c r="A27" s="15" t="s">
        <v>262</v>
      </c>
    </row>
    <row r="28" customFormat="false" ht="15" hidden="false" customHeight="false" outlineLevel="0" collapsed="false">
      <c r="A28" s="1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2026-07-25T04:43:54Z</dcterms:created>
  <dc:creator>openpyxl</dc:creator>
  <dc:description/>
  <dc:language>en-US</dc:language>
  <cp:lastModifiedBy/>
  <dcterms:modified xsi:type="dcterms:W3CDTF">2026-07-25T04:43:54Z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